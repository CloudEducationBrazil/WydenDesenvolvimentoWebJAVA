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o\Downloads\"/>
    </mc:Choice>
  </mc:AlternateContent>
  <xr:revisionPtr revIDLastSave="0" documentId="13_ncr:1_{F956892B-FBB8-465C-A310-CFB29EBC3A60}" xr6:coauthVersionLast="47" xr6:coauthVersionMax="47" xr10:uidLastSave="{00000000-0000-0000-0000-000000000000}"/>
  <bookViews>
    <workbookView xWindow="-120" yWindow="-120" windowWidth="20730" windowHeight="11040" xr2:uid="{DD6ED3E7-57DF-4A52-9E4C-63B0F7661B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17" i="1"/>
  <c r="H18" i="1"/>
  <c r="H19" i="1"/>
  <c r="H20" i="1"/>
  <c r="H21" i="1"/>
  <c r="H22" i="1"/>
  <c r="H23" i="1"/>
  <c r="H24" i="1"/>
  <c r="H3" i="1"/>
  <c r="H4" i="1"/>
  <c r="H5" i="1"/>
  <c r="H6" i="1"/>
  <c r="H7" i="1"/>
  <c r="H9" i="1"/>
  <c r="H10" i="1"/>
  <c r="H11" i="1"/>
  <c r="H12" i="1"/>
  <c r="H13" i="1"/>
  <c r="H14" i="1"/>
  <c r="H15" i="1"/>
  <c r="H16" i="1"/>
  <c r="H2" i="1"/>
  <c r="E25" i="1"/>
  <c r="E24" i="1"/>
  <c r="E18" i="1"/>
  <c r="E19" i="1"/>
  <c r="E20" i="1"/>
  <c r="E21" i="1"/>
  <c r="E22" i="1"/>
  <c r="E23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2" i="1"/>
</calcChain>
</file>

<file path=xl/sharedStrings.xml><?xml version="1.0" encoding="utf-8"?>
<sst xmlns="http://schemas.openxmlformats.org/spreadsheetml/2006/main" count="69" uniqueCount="54">
  <si>
    <t>AV</t>
  </si>
  <si>
    <t>AVS</t>
  </si>
  <si>
    <t>SIM1</t>
  </si>
  <si>
    <t>SIM2</t>
  </si>
  <si>
    <t>MF</t>
  </si>
  <si>
    <t>ALUNO</t>
  </si>
  <si>
    <t>SSA, 26 de novembro de 2025</t>
  </si>
  <si>
    <t>TRAB 6</t>
  </si>
  <si>
    <t>P AV 4</t>
  </si>
  <si>
    <t>202102120748 - ANTONIO CARLOS SENA DA CONCEIÇÃO JUNIOR</t>
  </si>
  <si>
    <t>202212050019 - ANTONIO VICTOR GONÇALVES CARVALHO</t>
  </si>
  <si>
    <t>202203052926 - ARTHUR SANTOS OLIVEIRA</t>
  </si>
  <si>
    <t>202403650223 - ERIK MATOS</t>
  </si>
  <si>
    <t>202212050001 - ESTHER MENESES DE BRITO</t>
  </si>
  <si>
    <t>202203358308 - FABIO SANTOS LOUZADA JUNIOR</t>
  </si>
  <si>
    <t>Falta</t>
  </si>
  <si>
    <t>201451365748 - GABRIEL DE FREITAS FARIAS</t>
  </si>
  <si>
    <t>202203702548 - GUSTAVO SARMENTO SANTOS</t>
  </si>
  <si>
    <t>202403476411 - JOÃO VÍCTOR MIRANDA CARVALHO</t>
  </si>
  <si>
    <t>202202602876 - JOÃO VICTOR SANTOS DOS SANTOS</t>
  </si>
  <si>
    <t>202403573032 - JOSÉ VINÍCIUS GARCIA RODRIGUES</t>
  </si>
  <si>
    <t>202103857281 - KAUAN NUNES SANTOS VITA</t>
  </si>
  <si>
    <t>202408161093 - LUIS FELIPE MILLET PASTORE</t>
  </si>
  <si>
    <t>202302417922 - LUIS FELIPE TAVARES ALENCAR DOS REIS</t>
  </si>
  <si>
    <t>202203274899 - LUIZ FELIPE BARRETO SILVEIRA</t>
  </si>
  <si>
    <t>202103526098 - MICHAEL SHUMAKER QUEIROZ LOULA DE CARVALHO</t>
  </si>
  <si>
    <t>202304053804 - RAFAEL CANELLA CAVALCANTE BARBOSA</t>
  </si>
  <si>
    <t>202203747371 - RENAN DE CARVALHO BATISTA</t>
  </si>
  <si>
    <t>202408485093 - THALES ALEXANDRE SOARES DA SILVA</t>
  </si>
  <si>
    <t>202302374735 - THIAGO EMANOEL SANTOS ARAÚJO</t>
  </si>
  <si>
    <t>202204401071 - THIAGO RODRIGUES DOS SANTOS</t>
  </si>
  <si>
    <t>202302528236 - TUPI GUEDES RIBAS</t>
  </si>
  <si>
    <t>202109534238 - UILLIAN QUEIROZ DA CONCEIÇÃO</t>
  </si>
  <si>
    <t>202303486499 - YURI DE JESUS FERNANDES MENDES</t>
  </si>
  <si>
    <t>PESO 4</t>
  </si>
  <si>
    <t>APP/GITHUB</t>
  </si>
  <si>
    <t>https://senack-frontend.vercel.app/; https://github.com/k1ngll/senack-backend; https://github.com/k1ngll/senack-frontend</t>
  </si>
  <si>
    <t>https://sales-rank-algoritmos.vercel.app/home; https://github.com/Estudos-Dev/AlgoRitmo e Frontend: https://github.com/Estudos-Dev/sales-rank-algoritmos</t>
  </si>
  <si>
    <t>NÃO</t>
  </si>
  <si>
    <t>https://todorank-frontend.netlify.app/; https://github.com/Estheer2/ToDoRank</t>
  </si>
  <si>
    <r>
      <t xml:space="preserve">NÃO APP CLOUD; </t>
    </r>
    <r>
      <rPr>
        <sz val="14"/>
        <color theme="1"/>
        <rFont val="Times New Roman"/>
        <family val="1"/>
      </rPr>
      <t>https://github.com/fabioX69/Projeto-Ecommerce/blob/main/README.md</t>
    </r>
  </si>
  <si>
    <t>https://taskmanagerpy-production.up.railway.app/; https://github.com/SANT0LA/taskmanagerpy</t>
  </si>
  <si>
    <t>https://travoaki.pythonanywhere.com/; https://github.com/JoseViniss/ProjetoTravoAki</t>
  </si>
  <si>
    <t>https://sgr-production-48f7.up.railway.app/;https://github.com/KNSVita/SGR</t>
  </si>
  <si>
    <t xml:space="preserve">https://projeto-algoritmos-e-complexidades-em-gcij.onrender.com/; https://github.com/Tavaresreistk/Projeto-Algoritmos-e-Complexidades-em-Aplica-o-Web-Mobile; </t>
  </si>
  <si>
    <t>https://crud-em-node.vercel.app/; https://github.com/ThiagoEmanoel25/Crud-em-node</t>
  </si>
  <si>
    <t>https://gusttavo09.github.io/Sistema_financeiro; https://github.com/Gusttavo09/Sistema_financeiro</t>
  </si>
  <si>
    <t>http://98.80.39.0/;  https://github.com/ThiagoR17/Simulador-Interativo-de-Algoritmos-de-Escalonamento-de-CPU; PPT Canvas https://www.canva.com/design/DAGn6ID1uqo/Y29L9JP17XAQJEB10B_LHA/edit</t>
  </si>
  <si>
    <t>https://algoranker.fly.dev/; https://github.com/tupiribas/algoranker</t>
  </si>
  <si>
    <t xml:space="preserve">https://barbeariaheleno.netlify.app/; https://github.com/UIILL/Barbearia-Heleno </t>
  </si>
  <si>
    <t>https://taskoptimizer-ai.vercel.app/; https://github.com/yurifernandes503/taskoptimizer-ai</t>
  </si>
  <si>
    <r>
      <rPr>
        <b/>
        <sz val="14"/>
        <color rgb="FFFF0000"/>
        <rFont val="Times New Roman"/>
        <family val="1"/>
      </rPr>
      <t>APP CLOUD - não link</t>
    </r>
    <r>
      <rPr>
        <sz val="14"/>
        <color theme="1"/>
        <rFont val="Times New Roman"/>
        <family val="1"/>
      </rPr>
      <t>; https://github.com/ThalesAlexandreSoares/queueVoucher/</t>
    </r>
  </si>
  <si>
    <r>
      <rPr>
        <b/>
        <sz val="14"/>
        <color rgb="FFFF0000"/>
        <rFont val="Times New Roman"/>
        <family val="1"/>
      </rPr>
      <t xml:space="preserve">NÃO APP CLOUD; </t>
    </r>
    <r>
      <rPr>
        <sz val="14"/>
        <color theme="1"/>
        <rFont val="Times New Roman"/>
        <family val="1"/>
      </rPr>
      <t>https://github.com/JoaoVictorCarvalho-DEV/WebAgenda</t>
    </r>
  </si>
  <si>
    <t>Turma Algoritmos e Complexidade - 3001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</si>
</sst>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right"/>
    </xf>
    <xf numFmtId="43" fontId="2" fillId="0" borderId="2" xfId="1" applyFont="1" applyBorder="1"/>
    <xf numFmtId="43" fontId="2" fillId="0" borderId="3" xfId="1" applyFont="1" applyBorder="1"/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0" borderId="0" xfId="0" applyFont="1"/>
    <xf numFmtId="0" fontId="2" fillId="0" borderId="8" xfId="0" applyFont="1" applyBorder="1"/>
    <xf numFmtId="0" fontId="2" fillId="0" borderId="9" xfId="0" applyFont="1" applyBorder="1"/>
    <xf numFmtId="43" fontId="2" fillId="0" borderId="10" xfId="1" applyFont="1" applyBorder="1"/>
    <xf numFmtId="43" fontId="2" fillId="0" borderId="11" xfId="1" applyFont="1" applyBorder="1"/>
    <xf numFmtId="43" fontId="2" fillId="0" borderId="7" xfId="1" applyFont="1" applyBorder="1"/>
    <xf numFmtId="0" fontId="3" fillId="3" borderId="0" xfId="0" applyFont="1" applyFill="1"/>
    <xf numFmtId="0" fontId="4" fillId="0" borderId="0" xfId="0" applyFont="1"/>
    <xf numFmtId="43" fontId="2" fillId="0" borderId="0" xfId="1" applyFont="1" applyBorder="1"/>
    <xf numFmtId="0" fontId="2" fillId="0" borderId="1" xfId="0" applyFont="1" applyBorder="1"/>
    <xf numFmtId="0" fontId="2" fillId="3" borderId="8" xfId="0" applyFont="1" applyFill="1" applyBorder="1"/>
    <xf numFmtId="0" fontId="2" fillId="4" borderId="8" xfId="0" applyFont="1" applyFill="1" applyBorder="1"/>
    <xf numFmtId="0" fontId="2" fillId="5" borderId="8" xfId="0" applyFont="1" applyFill="1" applyBorder="1"/>
    <xf numFmtId="43" fontId="2" fillId="5" borderId="7" xfId="1" applyFont="1" applyFill="1" applyBorder="1"/>
    <xf numFmtId="43" fontId="2" fillId="5" borderId="11" xfId="1" applyFont="1" applyFill="1" applyBorder="1"/>
    <xf numFmtId="0" fontId="3" fillId="2" borderId="6" xfId="0" applyFont="1" applyFill="1" applyBorder="1" applyAlignment="1">
      <alignment horizontal="left"/>
    </xf>
    <xf numFmtId="0" fontId="2" fillId="6" borderId="8" xfId="0" applyFont="1" applyFill="1" applyBorder="1"/>
    <xf numFmtId="0" fontId="2" fillId="7" borderId="8" xfId="0" applyFont="1" applyFill="1" applyBorder="1"/>
    <xf numFmtId="0" fontId="2" fillId="8" borderId="8" xfId="0" applyFont="1" applyFill="1" applyBorder="1"/>
    <xf numFmtId="0" fontId="2" fillId="9" borderId="8" xfId="0" applyFont="1" applyFill="1" applyBorder="1"/>
    <xf numFmtId="0" fontId="2" fillId="10" borderId="8" xfId="0" applyFont="1" applyFill="1" applyBorder="1"/>
    <xf numFmtId="0" fontId="2" fillId="11" borderId="8" xfId="0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2B8F-44EC-4B38-84EB-21D2846DA7CB}">
  <dimension ref="A1:K30"/>
  <sheetViews>
    <sheetView tabSelected="1" topLeftCell="A21" workbookViewId="0">
      <selection activeCell="A26" sqref="A26"/>
    </sheetView>
  </sheetViews>
  <sheetFormatPr defaultRowHeight="18.75" x14ac:dyDescent="0.3"/>
  <cols>
    <col min="1" max="1" width="90.5703125" style="7" bestFit="1" customWidth="1"/>
    <col min="2" max="3" width="8.140625" style="7" bestFit="1" customWidth="1"/>
    <col min="4" max="4" width="8.85546875" style="7" bestFit="1" customWidth="1"/>
    <col min="5" max="5" width="9.5703125" style="7" bestFit="1" customWidth="1"/>
    <col min="6" max="6" width="6.5703125" style="7" bestFit="1" customWidth="1"/>
    <col min="7" max="7" width="11" style="7" bestFit="1" customWidth="1"/>
    <col min="8" max="8" width="8.85546875" style="7" bestFit="1" customWidth="1"/>
    <col min="9" max="9" width="9.140625" style="7"/>
    <col min="10" max="10" width="10.7109375" style="7" bestFit="1" customWidth="1"/>
    <col min="11" max="11" width="11" style="7" bestFit="1" customWidth="1"/>
    <col min="12" max="16384" width="9.140625" style="7"/>
  </cols>
  <sheetData>
    <row r="1" spans="1:11" customFormat="1" ht="19.5" thickBot="1" x14ac:dyDescent="0.35">
      <c r="A1" s="4" t="s">
        <v>5</v>
      </c>
      <c r="B1" s="5" t="s">
        <v>2</v>
      </c>
      <c r="C1" s="5" t="s">
        <v>3</v>
      </c>
      <c r="D1" s="5" t="s">
        <v>0</v>
      </c>
      <c r="E1" s="5" t="s">
        <v>8</v>
      </c>
      <c r="F1" s="5" t="s">
        <v>1</v>
      </c>
      <c r="G1" s="5" t="s">
        <v>7</v>
      </c>
      <c r="H1" s="6" t="s">
        <v>4</v>
      </c>
      <c r="I1" s="22" t="s">
        <v>35</v>
      </c>
      <c r="J1" s="7"/>
      <c r="K1" s="7"/>
    </row>
    <row r="2" spans="1:11" x14ac:dyDescent="0.3">
      <c r="A2" s="9" t="s">
        <v>9</v>
      </c>
      <c r="B2" s="10">
        <v>0.7</v>
      </c>
      <c r="C2" s="10">
        <v>0.9</v>
      </c>
      <c r="D2" s="10">
        <v>5</v>
      </c>
      <c r="E2" s="10">
        <f>D2*4/10</f>
        <v>2</v>
      </c>
      <c r="F2" s="10"/>
      <c r="G2" s="10">
        <v>6</v>
      </c>
      <c r="H2" s="11">
        <f>E2+G2</f>
        <v>8</v>
      </c>
      <c r="I2" s="7" t="s">
        <v>36</v>
      </c>
    </row>
    <row r="3" spans="1:11" x14ac:dyDescent="0.3">
      <c r="A3" s="23" t="s">
        <v>10</v>
      </c>
      <c r="B3" s="12">
        <v>0.7</v>
      </c>
      <c r="C3" s="12">
        <v>0.9</v>
      </c>
      <c r="D3" s="12">
        <v>9</v>
      </c>
      <c r="E3" s="10">
        <f t="shared" ref="E3:E24" si="0">D3*4/10</f>
        <v>3.6</v>
      </c>
      <c r="F3" s="12"/>
      <c r="G3" s="12">
        <v>6</v>
      </c>
      <c r="H3" s="11">
        <f t="shared" ref="H3:H24" si="1">E3+G3</f>
        <v>9.6</v>
      </c>
      <c r="I3" s="7" t="s">
        <v>37</v>
      </c>
    </row>
    <row r="4" spans="1:11" x14ac:dyDescent="0.3">
      <c r="A4" s="23" t="s">
        <v>11</v>
      </c>
      <c r="B4" s="12">
        <v>0.7</v>
      </c>
      <c r="C4" s="12">
        <v>0.8</v>
      </c>
      <c r="D4" s="12">
        <v>9</v>
      </c>
      <c r="E4" s="10">
        <f t="shared" si="0"/>
        <v>3.6</v>
      </c>
      <c r="F4" s="12"/>
      <c r="G4" s="12">
        <v>6</v>
      </c>
      <c r="H4" s="11">
        <f t="shared" si="1"/>
        <v>9.6</v>
      </c>
      <c r="I4" s="7" t="s">
        <v>37</v>
      </c>
    </row>
    <row r="5" spans="1:11" x14ac:dyDescent="0.3">
      <c r="A5" s="18" t="s">
        <v>12</v>
      </c>
      <c r="B5" s="12">
        <v>0</v>
      </c>
      <c r="C5" s="12">
        <v>0.1</v>
      </c>
      <c r="D5" s="12">
        <v>1</v>
      </c>
      <c r="E5" s="10">
        <f t="shared" si="0"/>
        <v>0.4</v>
      </c>
      <c r="F5" s="12"/>
      <c r="G5" s="12">
        <v>0</v>
      </c>
      <c r="H5" s="11">
        <f t="shared" si="1"/>
        <v>0.4</v>
      </c>
      <c r="I5" s="14" t="s">
        <v>38</v>
      </c>
    </row>
    <row r="6" spans="1:11" x14ac:dyDescent="0.3">
      <c r="A6" s="8" t="s">
        <v>13</v>
      </c>
      <c r="B6" s="12">
        <v>0.3</v>
      </c>
      <c r="C6" s="12">
        <v>0.8</v>
      </c>
      <c r="D6" s="12">
        <v>10</v>
      </c>
      <c r="E6" s="10">
        <f t="shared" si="0"/>
        <v>4</v>
      </c>
      <c r="F6" s="12"/>
      <c r="G6" s="12">
        <v>6</v>
      </c>
      <c r="H6" s="11">
        <f t="shared" si="1"/>
        <v>10</v>
      </c>
      <c r="I6" s="7" t="s">
        <v>39</v>
      </c>
    </row>
    <row r="7" spans="1:11" x14ac:dyDescent="0.3">
      <c r="A7" s="27" t="s">
        <v>14</v>
      </c>
      <c r="B7" s="12">
        <v>0.5</v>
      </c>
      <c r="C7" s="12" t="s">
        <v>15</v>
      </c>
      <c r="D7" s="12">
        <v>9</v>
      </c>
      <c r="E7" s="10">
        <f t="shared" si="0"/>
        <v>3.6</v>
      </c>
      <c r="F7" s="12"/>
      <c r="G7" s="12">
        <v>3</v>
      </c>
      <c r="H7" s="11">
        <f t="shared" si="1"/>
        <v>6.6</v>
      </c>
      <c r="I7" s="14" t="s">
        <v>40</v>
      </c>
    </row>
    <row r="8" spans="1:11" x14ac:dyDescent="0.3">
      <c r="A8" s="19" t="s">
        <v>16</v>
      </c>
      <c r="B8" s="20">
        <v>0.4</v>
      </c>
      <c r="C8" s="20" t="s">
        <v>15</v>
      </c>
      <c r="D8" s="20" t="s">
        <v>15</v>
      </c>
      <c r="E8" s="20" t="s">
        <v>15</v>
      </c>
      <c r="F8" s="20"/>
      <c r="G8" s="20">
        <v>0</v>
      </c>
      <c r="H8" s="21" t="s">
        <v>15</v>
      </c>
      <c r="I8" s="14" t="s">
        <v>38</v>
      </c>
    </row>
    <row r="9" spans="1:11" x14ac:dyDescent="0.3">
      <c r="A9" s="24" t="s">
        <v>17</v>
      </c>
      <c r="B9" s="12">
        <v>0.6</v>
      </c>
      <c r="C9" s="12">
        <v>0.8</v>
      </c>
      <c r="D9" s="12">
        <v>9</v>
      </c>
      <c r="E9" s="10">
        <f t="shared" si="0"/>
        <v>3.6</v>
      </c>
      <c r="F9" s="12"/>
      <c r="G9" s="12">
        <v>6</v>
      </c>
      <c r="H9" s="11">
        <f t="shared" si="1"/>
        <v>9.6</v>
      </c>
      <c r="I9" s="7" t="s">
        <v>46</v>
      </c>
    </row>
    <row r="10" spans="1:11" x14ac:dyDescent="0.3">
      <c r="A10" s="28" t="s">
        <v>18</v>
      </c>
      <c r="B10" s="12">
        <v>0.7</v>
      </c>
      <c r="C10" s="12">
        <v>0.7</v>
      </c>
      <c r="D10" s="12">
        <v>7</v>
      </c>
      <c r="E10" s="10">
        <f t="shared" si="0"/>
        <v>2.8</v>
      </c>
      <c r="F10" s="12"/>
      <c r="G10" s="12">
        <v>5</v>
      </c>
      <c r="H10" s="11">
        <f t="shared" si="1"/>
        <v>7.8</v>
      </c>
      <c r="I10" s="7" t="s">
        <v>52</v>
      </c>
    </row>
    <row r="11" spans="1:11" x14ac:dyDescent="0.3">
      <c r="A11" s="26" t="s">
        <v>19</v>
      </c>
      <c r="B11" s="12">
        <v>0.5</v>
      </c>
      <c r="C11" s="12">
        <v>0.9</v>
      </c>
      <c r="D11" s="12">
        <v>9</v>
      </c>
      <c r="E11" s="10">
        <f t="shared" si="0"/>
        <v>3.6</v>
      </c>
      <c r="F11" s="12"/>
      <c r="G11" s="12">
        <v>4.5</v>
      </c>
      <c r="H11" s="11">
        <f t="shared" si="1"/>
        <v>8.1</v>
      </c>
      <c r="I11" s="7" t="s">
        <v>41</v>
      </c>
    </row>
    <row r="12" spans="1:11" x14ac:dyDescent="0.3">
      <c r="A12" s="8" t="s">
        <v>20</v>
      </c>
      <c r="B12" s="12">
        <v>0.4</v>
      </c>
      <c r="C12" s="12">
        <v>0.7</v>
      </c>
      <c r="D12" s="12">
        <v>9</v>
      </c>
      <c r="E12" s="10">
        <f t="shared" si="0"/>
        <v>3.6</v>
      </c>
      <c r="F12" s="12"/>
      <c r="G12" s="12">
        <v>6</v>
      </c>
      <c r="H12" s="11">
        <f t="shared" si="1"/>
        <v>9.6</v>
      </c>
      <c r="I12" s="7" t="s">
        <v>42</v>
      </c>
    </row>
    <row r="13" spans="1:11" x14ac:dyDescent="0.3">
      <c r="A13" s="8" t="s">
        <v>21</v>
      </c>
      <c r="B13" s="12">
        <v>0.6</v>
      </c>
      <c r="C13" s="12">
        <v>0.9</v>
      </c>
      <c r="D13" s="12">
        <v>5</v>
      </c>
      <c r="E13" s="10">
        <f t="shared" si="0"/>
        <v>2</v>
      </c>
      <c r="F13" s="12"/>
      <c r="G13" s="12">
        <v>6</v>
      </c>
      <c r="H13" s="11">
        <f t="shared" si="1"/>
        <v>8</v>
      </c>
      <c r="I13" s="7" t="s">
        <v>43</v>
      </c>
    </row>
    <row r="14" spans="1:11" x14ac:dyDescent="0.3">
      <c r="A14" s="18" t="s">
        <v>22</v>
      </c>
      <c r="B14" s="12">
        <v>0.4</v>
      </c>
      <c r="C14" s="12">
        <v>0.3</v>
      </c>
      <c r="D14" s="12">
        <v>5</v>
      </c>
      <c r="E14" s="10">
        <f t="shared" si="0"/>
        <v>2</v>
      </c>
      <c r="F14" s="12"/>
      <c r="G14" s="12">
        <v>0</v>
      </c>
      <c r="H14" s="11">
        <f t="shared" si="1"/>
        <v>2</v>
      </c>
      <c r="I14" s="14" t="s">
        <v>38</v>
      </c>
    </row>
    <row r="15" spans="1:11" x14ac:dyDescent="0.3">
      <c r="A15" s="25" t="s">
        <v>23</v>
      </c>
      <c r="B15" s="12">
        <v>0.3</v>
      </c>
      <c r="C15" s="12">
        <v>0.2</v>
      </c>
      <c r="D15" s="12">
        <v>7</v>
      </c>
      <c r="E15" s="10">
        <f t="shared" si="0"/>
        <v>2.8</v>
      </c>
      <c r="F15" s="12"/>
      <c r="G15" s="12">
        <v>6</v>
      </c>
      <c r="H15" s="11">
        <f t="shared" si="1"/>
        <v>8.8000000000000007</v>
      </c>
      <c r="I15" s="7" t="s">
        <v>44</v>
      </c>
    </row>
    <row r="16" spans="1:11" x14ac:dyDescent="0.3">
      <c r="A16" s="25" t="s">
        <v>24</v>
      </c>
      <c r="B16" s="12">
        <v>0.4</v>
      </c>
      <c r="C16" s="12">
        <v>0.9</v>
      </c>
      <c r="D16" s="12">
        <v>10</v>
      </c>
      <c r="E16" s="10">
        <f t="shared" si="0"/>
        <v>4</v>
      </c>
      <c r="F16" s="12"/>
      <c r="G16" s="12">
        <v>6</v>
      </c>
      <c r="H16" s="11">
        <f t="shared" si="1"/>
        <v>10</v>
      </c>
      <c r="I16" s="7" t="s">
        <v>44</v>
      </c>
    </row>
    <row r="17" spans="1:9" x14ac:dyDescent="0.3">
      <c r="A17" s="28" t="s">
        <v>25</v>
      </c>
      <c r="B17" s="12">
        <v>0.5</v>
      </c>
      <c r="C17" s="12">
        <v>0.9</v>
      </c>
      <c r="D17" s="12">
        <v>6</v>
      </c>
      <c r="E17" s="10">
        <f t="shared" si="0"/>
        <v>2.4</v>
      </c>
      <c r="F17" s="12"/>
      <c r="G17" s="12">
        <v>5</v>
      </c>
      <c r="H17" s="11">
        <f t="shared" si="1"/>
        <v>7.4</v>
      </c>
      <c r="I17" s="7" t="s">
        <v>52</v>
      </c>
    </row>
    <row r="18" spans="1:9" x14ac:dyDescent="0.3">
      <c r="A18" s="17" t="s">
        <v>26</v>
      </c>
      <c r="B18" s="12">
        <v>1</v>
      </c>
      <c r="C18" s="12">
        <v>0.9</v>
      </c>
      <c r="D18" s="12">
        <v>9</v>
      </c>
      <c r="E18" s="10">
        <f t="shared" si="0"/>
        <v>3.6</v>
      </c>
      <c r="F18" s="12"/>
      <c r="G18" s="12">
        <v>5</v>
      </c>
      <c r="H18" s="11">
        <f t="shared" si="1"/>
        <v>8.6</v>
      </c>
      <c r="I18" s="7" t="s">
        <v>45</v>
      </c>
    </row>
    <row r="19" spans="1:9" x14ac:dyDescent="0.3">
      <c r="A19" s="24" t="s">
        <v>27</v>
      </c>
      <c r="B19" s="12">
        <v>0.7</v>
      </c>
      <c r="C19" s="12">
        <v>0.9</v>
      </c>
      <c r="D19" s="12">
        <v>9</v>
      </c>
      <c r="E19" s="10">
        <f t="shared" si="0"/>
        <v>3.6</v>
      </c>
      <c r="F19" s="12"/>
      <c r="G19" s="12">
        <v>6</v>
      </c>
      <c r="H19" s="11">
        <f t="shared" si="1"/>
        <v>9.6</v>
      </c>
      <c r="I19" s="7" t="s">
        <v>46</v>
      </c>
    </row>
    <row r="20" spans="1:9" x14ac:dyDescent="0.3">
      <c r="A20" s="8" t="s">
        <v>28</v>
      </c>
      <c r="B20" s="12">
        <v>0.3</v>
      </c>
      <c r="C20" s="12">
        <v>0.9</v>
      </c>
      <c r="D20" s="12">
        <v>9</v>
      </c>
      <c r="E20" s="10">
        <f t="shared" si="0"/>
        <v>3.6</v>
      </c>
      <c r="F20" s="12"/>
      <c r="G20" s="12">
        <v>6</v>
      </c>
      <c r="H20" s="11">
        <f t="shared" si="1"/>
        <v>9.6</v>
      </c>
      <c r="I20" s="7" t="s">
        <v>51</v>
      </c>
    </row>
    <row r="21" spans="1:9" x14ac:dyDescent="0.3">
      <c r="A21" s="17" t="s">
        <v>29</v>
      </c>
      <c r="B21" s="12">
        <v>0.6</v>
      </c>
      <c r="C21" s="12" t="s">
        <v>15</v>
      </c>
      <c r="D21" s="12">
        <v>9</v>
      </c>
      <c r="E21" s="10">
        <f t="shared" si="0"/>
        <v>3.6</v>
      </c>
      <c r="F21" s="12"/>
      <c r="G21" s="12">
        <v>5</v>
      </c>
      <c r="H21" s="11">
        <f t="shared" si="1"/>
        <v>8.6</v>
      </c>
      <c r="I21" s="7" t="s">
        <v>45</v>
      </c>
    </row>
    <row r="22" spans="1:9" x14ac:dyDescent="0.3">
      <c r="A22" s="8" t="s">
        <v>30</v>
      </c>
      <c r="B22" s="12">
        <v>0.4</v>
      </c>
      <c r="C22" s="12">
        <v>0.8</v>
      </c>
      <c r="D22" s="12">
        <v>6</v>
      </c>
      <c r="E22" s="10">
        <f t="shared" si="0"/>
        <v>2.4</v>
      </c>
      <c r="F22" s="12"/>
      <c r="G22" s="12">
        <v>6</v>
      </c>
      <c r="H22" s="11">
        <f t="shared" si="1"/>
        <v>8.4</v>
      </c>
      <c r="I22" s="7" t="s">
        <v>47</v>
      </c>
    </row>
    <row r="23" spans="1:9" x14ac:dyDescent="0.3">
      <c r="A23" s="8" t="s">
        <v>31</v>
      </c>
      <c r="B23" s="12">
        <v>0.9</v>
      </c>
      <c r="C23" s="12">
        <v>0.4</v>
      </c>
      <c r="D23" s="12">
        <v>4</v>
      </c>
      <c r="E23" s="10">
        <f t="shared" si="0"/>
        <v>1.6</v>
      </c>
      <c r="F23" s="12"/>
      <c r="G23" s="12">
        <v>6</v>
      </c>
      <c r="H23" s="11">
        <f t="shared" si="1"/>
        <v>7.6</v>
      </c>
      <c r="I23" s="7" t="s">
        <v>48</v>
      </c>
    </row>
    <row r="24" spans="1:9" x14ac:dyDescent="0.3">
      <c r="A24" s="8" t="s">
        <v>32</v>
      </c>
      <c r="B24" s="12">
        <v>0.1</v>
      </c>
      <c r="C24" s="12">
        <v>0.9</v>
      </c>
      <c r="D24" s="12">
        <v>7</v>
      </c>
      <c r="E24" s="10">
        <f t="shared" si="0"/>
        <v>2.8</v>
      </c>
      <c r="F24" s="12"/>
      <c r="G24" s="12">
        <v>6</v>
      </c>
      <c r="H24" s="11">
        <f t="shared" si="1"/>
        <v>8.8000000000000007</v>
      </c>
      <c r="I24" s="7" t="s">
        <v>49</v>
      </c>
    </row>
    <row r="25" spans="1:9" ht="19.5" thickBot="1" x14ac:dyDescent="0.35">
      <c r="A25" s="16" t="s">
        <v>33</v>
      </c>
      <c r="B25" s="2" t="s">
        <v>15</v>
      </c>
      <c r="C25" s="2" t="s">
        <v>15</v>
      </c>
      <c r="D25" s="2">
        <v>8</v>
      </c>
      <c r="E25" s="2">
        <f>D25*4/10</f>
        <v>3.2</v>
      </c>
      <c r="F25" s="2"/>
      <c r="G25" s="2">
        <v>5</v>
      </c>
      <c r="H25" s="3">
        <f>E25+G25</f>
        <v>8.1999999999999993</v>
      </c>
      <c r="I25" s="7" t="s">
        <v>50</v>
      </c>
    </row>
    <row r="26" spans="1:9" x14ac:dyDescent="0.3">
      <c r="A26" s="14" t="s">
        <v>53</v>
      </c>
      <c r="B26" s="15"/>
      <c r="C26" s="15"/>
      <c r="D26" s="15"/>
      <c r="E26" s="15"/>
      <c r="F26" s="15"/>
      <c r="G26" s="15"/>
      <c r="H26" s="15"/>
    </row>
    <row r="27" spans="1:9" x14ac:dyDescent="0.3">
      <c r="A27"/>
    </row>
    <row r="28" spans="1:9" x14ac:dyDescent="0.3">
      <c r="A28" s="1" t="s">
        <v>6</v>
      </c>
    </row>
    <row r="29" spans="1:9" x14ac:dyDescent="0.3">
      <c r="A29" s="13" t="s">
        <v>34</v>
      </c>
    </row>
    <row r="30" spans="1:9" x14ac:dyDescent="0.3">
      <c r="A30" s="13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Heleno Cardoso</dc:creator>
  <cp:lastModifiedBy>Heleno Cardoso</cp:lastModifiedBy>
  <dcterms:created xsi:type="dcterms:W3CDTF">2025-11-26T20:27:31Z</dcterms:created>
  <dcterms:modified xsi:type="dcterms:W3CDTF">2025-11-28T19:23:16Z</dcterms:modified>
</cp:coreProperties>
</file>